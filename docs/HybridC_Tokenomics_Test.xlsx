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S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Supply</t>
        </is>
      </c>
      <c r="B1" t="n">
        <v>150000000000</v>
      </c>
    </row>
    <row r="2">
      <c r="A2" t="inlineStr">
        <is>
          <t>Monthly Cap %</t>
        </is>
      </c>
      <c r="B2" t="n">
        <v>0.003</v>
      </c>
    </row>
    <row r="3">
      <c r="A3" t="inlineStr">
        <is>
          <t>Monthly Cap (BDAG)</t>
        </is>
      </c>
      <c r="B3">
        <f>B1*B2</f>
        <v/>
      </c>
    </row>
    <row r="4">
      <c r="A4" t="inlineStr">
        <is>
          <t>State Factor NORMAL</t>
        </is>
      </c>
      <c r="B4" t="n">
        <v>1</v>
      </c>
    </row>
    <row r="5">
      <c r="A5" t="inlineStr">
        <is>
          <t>State Factor RESTRICTED</t>
        </is>
      </c>
      <c r="B5" t="n">
        <v>0.5</v>
      </c>
    </row>
    <row r="6">
      <c r="A6" t="inlineStr">
        <is>
          <t>State Factor EMERGENCY</t>
        </is>
      </c>
      <c r="B6" t="n">
        <v>0</v>
      </c>
    </row>
    <row r="7">
      <c r="A7" t="inlineStr">
        <is>
          <t>Effective Presale BDAG</t>
        </is>
      </c>
      <c r="B7" t="n">
        <v>2229000</v>
      </c>
    </row>
    <row r="8">
      <c r="A8" t="inlineStr">
        <is>
          <t>Vesting Rate (monthly)</t>
        </is>
      </c>
      <c r="B8" t="n">
        <v>0.003</v>
      </c>
    </row>
    <row r="9">
      <c r="A9" t="inlineStr">
        <is>
          <t>Auto-Stake Share</t>
        </is>
      </c>
      <c r="B9" t="n">
        <v>0.5</v>
      </c>
    </row>
    <row r="10">
      <c r="A10" t="inlineStr">
        <is>
          <t>Mining Liquid Share</t>
        </is>
      </c>
      <c r="B10" t="n">
        <v>0.15</v>
      </c>
    </row>
    <row r="11">
      <c r="A11" t="inlineStr">
        <is>
          <t>Queue Trigger % Supply</t>
        </is>
      </c>
      <c r="B11" t="n">
        <v>0.05</v>
      </c>
    </row>
    <row r="12">
      <c r="A12" t="inlineStr">
        <is>
          <t>Queue Repay Cap Share</t>
        </is>
      </c>
      <c r="B1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State</t>
        </is>
      </c>
      <c r="C1" t="inlineStr">
        <is>
          <t>State Factor</t>
        </is>
      </c>
      <c r="D1" t="inlineStr">
        <is>
          <t>Cap Allowed</t>
        </is>
      </c>
      <c r="E1" t="inlineStr">
        <is>
          <t>Queue Start</t>
        </is>
      </c>
      <c r="F1" t="inlineStr">
        <is>
          <t>Queue Repay Active</t>
        </is>
      </c>
      <c r="G1" t="inlineStr">
        <is>
          <t>Cap for Queue Repay</t>
        </is>
      </c>
      <c r="H1" t="inlineStr">
        <is>
          <t>Cap for New Emission</t>
        </is>
      </c>
      <c r="I1" t="inlineStr">
        <is>
          <t>Presale Vesting Nominal</t>
        </is>
      </c>
      <c r="J1" t="inlineStr">
        <is>
          <t>Presale Liquid Demand</t>
        </is>
      </c>
      <c r="K1" t="inlineStr">
        <is>
          <t>Mining Total Nominal</t>
        </is>
      </c>
      <c r="L1" t="inlineStr">
        <is>
          <t>Mining Liquid Demand</t>
        </is>
      </c>
      <c r="M1" t="inlineStr">
        <is>
          <t>Total Liquid Demand</t>
        </is>
      </c>
      <c r="N1" t="inlineStr">
        <is>
          <t>New Emission Paid</t>
        </is>
      </c>
      <c r="O1" t="inlineStr">
        <is>
          <t>Presale Paid</t>
        </is>
      </c>
      <c r="P1" t="inlineStr">
        <is>
          <t>Mining Paid</t>
        </is>
      </c>
      <c r="Q1" t="inlineStr">
        <is>
          <t>Queue End</t>
        </is>
      </c>
      <c r="R1" t="inlineStr">
        <is>
          <t>Cap Violation</t>
        </is>
      </c>
    </row>
    <row r="2">
      <c r="A2" t="n">
        <v>1</v>
      </c>
      <c r="B2" t="inlineStr">
        <is>
          <t>NORMAL</t>
        </is>
      </c>
      <c r="C2">
        <f>IF(B2="NORMAL",PARAMS!B4,IF(B2="RESTRICTED",PARAMS!B5,PARAMS!B6))</f>
        <v/>
      </c>
      <c r="D2">
        <f>PARAMS!B3*C2</f>
        <v/>
      </c>
      <c r="E2" t="n">
        <v>0</v>
      </c>
      <c r="F2">
        <f>E2&gt;(PARAMS!B1*PARAMS!B11)</f>
        <v/>
      </c>
      <c r="G2">
        <f>IF(F2,D2*PARAMS!B12,0)</f>
        <v/>
      </c>
      <c r="H2">
        <f>D2-G2</f>
        <v/>
      </c>
      <c r="I2">
        <f>IF(B2="NORMAL",PARAMS!B7*PARAMS!B8,0)</f>
        <v/>
      </c>
      <c r="J2">
        <f>I2*(1-PARAMS!B9)</f>
        <v/>
      </c>
      <c r="K2" t="n">
        <v>0</v>
      </c>
      <c r="L2">
        <f>K2*PARAMS!B10*C2</f>
        <v/>
      </c>
      <c r="M2">
        <f>J2+L2</f>
        <v/>
      </c>
      <c r="N2">
        <f>MIN(H2,M2)</f>
        <v/>
      </c>
      <c r="O2">
        <f>IF(M2=0,0,N2*(J2/M2))</f>
        <v/>
      </c>
      <c r="P2">
        <f>IF(M2=0,0,N2*(L2/M2))</f>
        <v/>
      </c>
      <c r="Q2">
        <f>E2+(M2-N2)-G2</f>
        <v/>
      </c>
      <c r="R2">
        <f>IF(N2&gt;D2,"VIOLATION","OK")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2026-01-05T23:17:26Z</dcterms:created>
  <dcterms:modified xmlns:dcterms="http://purl.org/dc/terms/" xmlns:xsi="http://www.w3.org/2001/XMLSchema-instance" xsi:type="dcterms:W3CDTF">2026-01-05T23:17:26Z</dcterms:modified>
</cp:coreProperties>
</file>